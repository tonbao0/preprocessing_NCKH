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_pj_ngtk\"/>
    </mc:Choice>
  </mc:AlternateContent>
  <xr:revisionPtr revIDLastSave="0" documentId="8_{F32A48DA-CC67-4D2C-BAF4-C08A2B910795}" xr6:coauthVersionLast="47" xr6:coauthVersionMax="47" xr10:uidLastSave="{00000000-0000-0000-0000-000000000000}"/>
  <bookViews>
    <workbookView xWindow="-120" yWindow="-120" windowWidth="29040" windowHeight="15720" xr2:uid="{468B3516-F418-4676-821B-135AD1AB59D0}"/>
  </bookViews>
  <sheets>
    <sheet name="economy" sheetId="1" r:id="rId1"/>
    <sheet name="envir_infra" sheetId="2" r:id="rId2"/>
    <sheet name="5ba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3" l="1"/>
  <c r="O6" i="3" s="1"/>
  <c r="E7" i="3"/>
  <c r="N6" i="3" s="1"/>
  <c r="D7" i="3"/>
  <c r="M6" i="3" s="1"/>
  <c r="C7" i="3"/>
  <c r="L5" i="3" s="1"/>
  <c r="B7" i="3"/>
  <c r="K6" i="3" s="1"/>
  <c r="K3" i="2"/>
  <c r="L3" i="2"/>
  <c r="M3" i="2"/>
  <c r="K4" i="2"/>
  <c r="L4" i="2"/>
  <c r="M4" i="2"/>
  <c r="K5" i="2"/>
  <c r="L5" i="2"/>
  <c r="M5" i="2"/>
  <c r="L2" i="2"/>
  <c r="M2" i="2"/>
  <c r="K2" i="2"/>
  <c r="C6" i="2"/>
  <c r="D6" i="2"/>
  <c r="E6" i="2"/>
  <c r="N4" i="2" s="1"/>
  <c r="B6" i="2"/>
  <c r="L7" i="1"/>
  <c r="L2" i="1"/>
  <c r="L3" i="1"/>
  <c r="O3" i="1"/>
  <c r="L4" i="1"/>
  <c r="M4" i="1"/>
  <c r="O4" i="1"/>
  <c r="L5" i="1"/>
  <c r="O5" i="1"/>
  <c r="L6" i="1"/>
  <c r="C7" i="1"/>
  <c r="D7" i="1"/>
  <c r="M5" i="1" s="1"/>
  <c r="E7" i="1"/>
  <c r="N4" i="1" s="1"/>
  <c r="F7" i="1"/>
  <c r="O6" i="1" s="1"/>
  <c r="B7" i="1"/>
  <c r="K5" i="1" s="1"/>
  <c r="L3" i="3" l="1"/>
  <c r="M3" i="3"/>
  <c r="M5" i="3"/>
  <c r="K5" i="3"/>
  <c r="N3" i="3"/>
  <c r="N5" i="3"/>
  <c r="K3" i="3"/>
  <c r="K2" i="3"/>
  <c r="K4" i="3"/>
  <c r="L2" i="3"/>
  <c r="L4" i="3"/>
  <c r="L6" i="3"/>
  <c r="P6" i="3" s="1"/>
  <c r="N2" i="3"/>
  <c r="N4" i="3"/>
  <c r="O3" i="3"/>
  <c r="O5" i="3"/>
  <c r="M2" i="3"/>
  <c r="M4" i="3"/>
  <c r="O2" i="3"/>
  <c r="O4" i="3"/>
  <c r="O4" i="2"/>
  <c r="N3" i="2"/>
  <c r="O3" i="2" s="1"/>
  <c r="N5" i="2"/>
  <c r="O5" i="2" s="1"/>
  <c r="N2" i="2"/>
  <c r="O2" i="2" s="1"/>
  <c r="K6" i="2"/>
  <c r="L6" i="2"/>
  <c r="M6" i="2"/>
  <c r="N6" i="2"/>
  <c r="O2" i="1"/>
  <c r="O7" i="1" s="1"/>
  <c r="K4" i="1"/>
  <c r="P4" i="1" s="1"/>
  <c r="K3" i="1"/>
  <c r="P3" i="1" s="1"/>
  <c r="M3" i="1"/>
  <c r="M6" i="1"/>
  <c r="N6" i="1"/>
  <c r="N2" i="1"/>
  <c r="N5" i="1"/>
  <c r="N3" i="1"/>
  <c r="N7" i="1"/>
  <c r="K2" i="1"/>
  <c r="K6" i="1"/>
  <c r="P6" i="1" s="1"/>
  <c r="P5" i="1"/>
  <c r="M2" i="1"/>
  <c r="P5" i="3" l="1"/>
  <c r="P3" i="3"/>
  <c r="N7" i="3"/>
  <c r="O7" i="3"/>
  <c r="L7" i="3"/>
  <c r="P4" i="3"/>
  <c r="K7" i="3"/>
  <c r="P2" i="3"/>
  <c r="M7" i="3"/>
  <c r="K7" i="1"/>
  <c r="P2" i="1"/>
  <c r="P7" i="1" s="1"/>
  <c r="M7" i="1"/>
  <c r="P7" i="3" l="1"/>
</calcChain>
</file>

<file path=xl/sharedStrings.xml><?xml version="1.0" encoding="utf-8"?>
<sst xmlns="http://schemas.openxmlformats.org/spreadsheetml/2006/main" count="59" uniqueCount="16">
  <si>
    <t>hdi_index</t>
  </si>
  <si>
    <t>income_inequality_coef</t>
  </si>
  <si>
    <t>poverty_rate</t>
  </si>
  <si>
    <t>income_per_capita</t>
  </si>
  <si>
    <t>cost_living_per_capita</t>
  </si>
  <si>
    <t>sanitation_rate</t>
  </si>
  <si>
    <t>clean_water_urban_rate</t>
  </si>
  <si>
    <t>forest_coverage_rate</t>
  </si>
  <si>
    <t>internet_usage_rate</t>
  </si>
  <si>
    <t>bais</t>
  </si>
  <si>
    <t>bias</t>
  </si>
  <si>
    <t>economy</t>
  </si>
  <si>
    <t>healthcare</t>
  </si>
  <si>
    <t>envi_infra</t>
  </si>
  <si>
    <t>stability_safety</t>
  </si>
  <si>
    <t>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</si>
</sst>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3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2" fontId="2" fillId="0" borderId="4" xfId="0" applyNumberFormat="1" applyFont="1" applyBorder="1" applyAlignment="1">
      <alignment horizontal="right" wrapText="1"/>
    </xf>
    <xf numFmtId="2" fontId="1" fillId="0" borderId="4" xfId="0" applyNumberFormat="1" applyFont="1" applyBorder="1" applyAlignment="1">
      <alignment wrapText="1"/>
    </xf>
    <xf numFmtId="2" fontId="0" fillId="0" borderId="0" xfId="0" applyNumberFormat="1"/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0" xfId="0" applyFont="1" applyBorder="1" applyAlignment="1">
      <alignment wrapText="1"/>
    </xf>
    <xf numFmtId="2" fontId="2" fillId="0" borderId="7" xfId="0" applyNumberFormat="1" applyFont="1" applyBorder="1" applyAlignment="1">
      <alignment horizontal="right" wrapText="1"/>
    </xf>
    <xf numFmtId="2" fontId="1" fillId="0" borderId="7" xfId="0" applyNumberFormat="1" applyFont="1" applyBorder="1" applyAlignment="1">
      <alignment wrapText="1"/>
    </xf>
    <xf numFmtId="2" fontId="2" fillId="0" borderId="0" xfId="0" applyNumberFormat="1" applyFont="1" applyBorder="1" applyAlignment="1">
      <alignment horizontal="right" wrapText="1"/>
    </xf>
    <xf numFmtId="2" fontId="1" fillId="0" borderId="0" xfId="0" applyNumberFormat="1" applyFont="1" applyBorder="1" applyAlignment="1">
      <alignment wrapText="1"/>
    </xf>
    <xf numFmtId="0" fontId="1" fillId="0" borderId="8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FCD47-3442-4FC5-9A22-00FA3DB7F27E}">
  <dimension ref="A1:P7"/>
  <sheetViews>
    <sheetView tabSelected="1" topLeftCell="B1" zoomScale="132" workbookViewId="0">
      <selection activeCell="P2" sqref="P2:P6"/>
    </sheetView>
  </sheetViews>
  <sheetFormatPr defaultRowHeight="15" x14ac:dyDescent="0.25"/>
  <cols>
    <col min="1" max="1" width="22.140625" bestFit="1" customWidth="1"/>
    <col min="2" max="2" width="9.42578125" bestFit="1" customWidth="1"/>
    <col min="3" max="3" width="22.140625" bestFit="1" customWidth="1"/>
    <col min="4" max="4" width="11.5703125" bestFit="1" customWidth="1"/>
    <col min="5" max="5" width="18" bestFit="1" customWidth="1"/>
    <col min="6" max="6" width="17.28515625" bestFit="1" customWidth="1"/>
    <col min="13" max="13" width="8.85546875" bestFit="1" customWidth="1"/>
  </cols>
  <sheetData>
    <row r="1" spans="1:16" ht="45.75" thickBot="1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K1" s="2" t="s">
        <v>0</v>
      </c>
      <c r="L1" s="2" t="s">
        <v>1</v>
      </c>
      <c r="M1" s="2" t="s">
        <v>2</v>
      </c>
      <c r="N1" s="2" t="s">
        <v>3</v>
      </c>
      <c r="O1" s="2" t="s">
        <v>4</v>
      </c>
      <c r="P1" s="14" t="s">
        <v>9</v>
      </c>
    </row>
    <row r="2" spans="1:16" ht="30.75" thickBot="1" x14ac:dyDescent="0.3">
      <c r="A2" s="3" t="s">
        <v>0</v>
      </c>
      <c r="B2" s="4">
        <v>1</v>
      </c>
      <c r="C2" s="4">
        <v>3</v>
      </c>
      <c r="D2" s="4">
        <v>5</v>
      </c>
      <c r="E2" s="4">
        <v>3</v>
      </c>
      <c r="F2" s="4">
        <v>2</v>
      </c>
      <c r="G2" s="6"/>
      <c r="J2" s="3" t="s">
        <v>0</v>
      </c>
      <c r="K2">
        <f>B2/B$7</f>
        <v>0.42253521126760568</v>
      </c>
      <c r="L2">
        <f>C2/C$7</f>
        <v>0.5625</v>
      </c>
      <c r="M2">
        <f t="shared" ref="L2:O6" si="0">D2/D$7</f>
        <v>0.29411764705882354</v>
      </c>
      <c r="N2">
        <f t="shared" si="0"/>
        <v>0.44444444444444442</v>
      </c>
      <c r="O2">
        <f t="shared" si="0"/>
        <v>0.27586206896551724</v>
      </c>
      <c r="P2">
        <f>AVERAGE(K2:O2)</f>
        <v>0.39989187434727819</v>
      </c>
    </row>
    <row r="3" spans="1:16" ht="45.75" thickBot="1" x14ac:dyDescent="0.3">
      <c r="A3" s="3" t="s">
        <v>1</v>
      </c>
      <c r="B3" s="4">
        <v>0.33333333333333331</v>
      </c>
      <c r="C3" s="5">
        <v>1</v>
      </c>
      <c r="D3" s="5">
        <v>3</v>
      </c>
      <c r="E3" s="5">
        <v>2</v>
      </c>
      <c r="F3" s="5">
        <v>2</v>
      </c>
      <c r="G3" s="6"/>
      <c r="J3" s="3" t="s">
        <v>1</v>
      </c>
      <c r="K3">
        <f t="shared" ref="K3:K6" si="1">B3/B$7</f>
        <v>0.14084507042253522</v>
      </c>
      <c r="L3">
        <f t="shared" si="0"/>
        <v>0.1875</v>
      </c>
      <c r="M3">
        <f t="shared" si="0"/>
        <v>0.17647058823529413</v>
      </c>
      <c r="N3">
        <f t="shared" si="0"/>
        <v>0.29629629629629628</v>
      </c>
      <c r="O3">
        <f t="shared" si="0"/>
        <v>0.27586206896551724</v>
      </c>
      <c r="P3">
        <f t="shared" ref="P3:P6" si="2">AVERAGE(K3:O3)</f>
        <v>0.21539480478392861</v>
      </c>
    </row>
    <row r="4" spans="1:16" ht="30.75" thickBot="1" x14ac:dyDescent="0.3">
      <c r="A4" s="3" t="s">
        <v>2</v>
      </c>
      <c r="B4" s="5">
        <v>0.2</v>
      </c>
      <c r="C4" s="5">
        <v>0.33333333333333331</v>
      </c>
      <c r="D4" s="5">
        <v>1</v>
      </c>
      <c r="E4" s="5">
        <v>0.25</v>
      </c>
      <c r="F4" s="5">
        <v>0.25</v>
      </c>
      <c r="G4" s="6"/>
      <c r="J4" s="3" t="s">
        <v>2</v>
      </c>
      <c r="K4">
        <f t="shared" si="1"/>
        <v>8.4507042253521153E-2</v>
      </c>
      <c r="L4">
        <f t="shared" si="0"/>
        <v>6.25E-2</v>
      </c>
      <c r="M4">
        <f t="shared" si="0"/>
        <v>5.8823529411764705E-2</v>
      </c>
      <c r="N4">
        <f t="shared" si="0"/>
        <v>3.7037037037037035E-2</v>
      </c>
      <c r="O4">
        <f t="shared" si="0"/>
        <v>3.4482758620689655E-2</v>
      </c>
      <c r="P4">
        <f t="shared" si="2"/>
        <v>5.5470073464602511E-2</v>
      </c>
    </row>
    <row r="5" spans="1:16" ht="45.75" thickBot="1" x14ac:dyDescent="0.3">
      <c r="A5" s="3" t="s">
        <v>3</v>
      </c>
      <c r="B5" s="5">
        <v>0.33333333333333331</v>
      </c>
      <c r="C5" s="5">
        <v>0.5</v>
      </c>
      <c r="D5" s="5">
        <v>4</v>
      </c>
      <c r="E5" s="5">
        <v>1</v>
      </c>
      <c r="F5" s="5">
        <v>2</v>
      </c>
      <c r="G5" s="6"/>
      <c r="J5" s="3" t="s">
        <v>3</v>
      </c>
      <c r="K5">
        <f t="shared" si="1"/>
        <v>0.14084507042253522</v>
      </c>
      <c r="L5">
        <f t="shared" si="0"/>
        <v>9.375E-2</v>
      </c>
      <c r="M5">
        <f t="shared" si="0"/>
        <v>0.23529411764705882</v>
      </c>
      <c r="N5">
        <f t="shared" si="0"/>
        <v>0.14814814814814814</v>
      </c>
      <c r="O5">
        <f t="shared" si="0"/>
        <v>0.27586206896551724</v>
      </c>
      <c r="P5">
        <f t="shared" si="2"/>
        <v>0.17877988103665188</v>
      </c>
    </row>
    <row r="6" spans="1:16" ht="45.75" thickBot="1" x14ac:dyDescent="0.3">
      <c r="A6" s="3" t="s">
        <v>4</v>
      </c>
      <c r="B6" s="5">
        <v>0.5</v>
      </c>
      <c r="C6" s="5">
        <v>0.5</v>
      </c>
      <c r="D6" s="5">
        <v>4</v>
      </c>
      <c r="E6" s="5">
        <v>0.5</v>
      </c>
      <c r="F6" s="5">
        <v>1</v>
      </c>
      <c r="G6" s="6"/>
      <c r="J6" s="3" t="s">
        <v>4</v>
      </c>
      <c r="K6">
        <f t="shared" si="1"/>
        <v>0.21126760563380284</v>
      </c>
      <c r="L6">
        <f t="shared" si="0"/>
        <v>9.375E-2</v>
      </c>
      <c r="M6">
        <f t="shared" si="0"/>
        <v>0.23529411764705882</v>
      </c>
      <c r="N6">
        <f t="shared" si="0"/>
        <v>7.407407407407407E-2</v>
      </c>
      <c r="O6">
        <f t="shared" si="0"/>
        <v>0.13793103448275862</v>
      </c>
      <c r="P6">
        <f t="shared" si="2"/>
        <v>0.15046336636753885</v>
      </c>
    </row>
    <row r="7" spans="1:16" x14ac:dyDescent="0.25">
      <c r="B7" s="6">
        <f>SUM(B2:B6)</f>
        <v>2.3666666666666663</v>
      </c>
      <c r="C7" s="6">
        <f t="shared" ref="C7:F7" si="3">SUM(C2:C6)</f>
        <v>5.333333333333333</v>
      </c>
      <c r="D7" s="6">
        <f t="shared" si="3"/>
        <v>17</v>
      </c>
      <c r="E7" s="6">
        <f t="shared" si="3"/>
        <v>6.75</v>
      </c>
      <c r="F7" s="6">
        <f t="shared" si="3"/>
        <v>7.25</v>
      </c>
      <c r="K7">
        <f>SUM(K2:K6)</f>
        <v>1</v>
      </c>
      <c r="L7">
        <f t="shared" ref="L7:O7" si="4">SUM(L2:L6)</f>
        <v>1</v>
      </c>
      <c r="M7">
        <f t="shared" si="4"/>
        <v>1</v>
      </c>
      <c r="N7">
        <f t="shared" si="4"/>
        <v>0.99999999999999989</v>
      </c>
      <c r="O7">
        <f t="shared" si="4"/>
        <v>1</v>
      </c>
      <c r="P7">
        <f>SUM(P2:P6)</f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3A184-037B-41DC-95EB-700C06D7E49D}">
  <dimension ref="A1:O7"/>
  <sheetViews>
    <sheetView zoomScale="125" workbookViewId="0">
      <selection activeCell="E5" sqref="E5"/>
    </sheetView>
  </sheetViews>
  <sheetFormatPr defaultRowHeight="15" x14ac:dyDescent="0.25"/>
  <cols>
    <col min="11" max="11" width="8.85546875" bestFit="1" customWidth="1"/>
    <col min="12" max="14" width="13.140625" bestFit="1" customWidth="1"/>
  </cols>
  <sheetData>
    <row r="1" spans="1:15" ht="45.75" thickBot="1" x14ac:dyDescent="0.3">
      <c r="A1" s="1"/>
      <c r="B1" s="7" t="s">
        <v>5</v>
      </c>
      <c r="C1" s="3" t="s">
        <v>6</v>
      </c>
      <c r="D1" s="3" t="s">
        <v>7</v>
      </c>
      <c r="E1" s="8" t="s">
        <v>8</v>
      </c>
      <c r="F1" s="9"/>
      <c r="K1" s="7" t="s">
        <v>5</v>
      </c>
      <c r="L1" s="3" t="s">
        <v>6</v>
      </c>
      <c r="M1" s="3" t="s">
        <v>7</v>
      </c>
      <c r="N1" s="8" t="s">
        <v>8</v>
      </c>
      <c r="O1" s="2" t="s">
        <v>10</v>
      </c>
    </row>
    <row r="2" spans="1:15" ht="30.75" thickBot="1" x14ac:dyDescent="0.3">
      <c r="A2" s="7" t="s">
        <v>5</v>
      </c>
      <c r="B2" s="4">
        <v>1</v>
      </c>
      <c r="C2" s="4">
        <v>0.5</v>
      </c>
      <c r="D2" s="4">
        <v>0.5</v>
      </c>
      <c r="E2" s="10">
        <v>3</v>
      </c>
      <c r="F2" s="12"/>
      <c r="G2" s="6"/>
      <c r="J2" s="7" t="s">
        <v>5</v>
      </c>
      <c r="K2">
        <f>B2/B$6</f>
        <v>0.1875</v>
      </c>
      <c r="L2">
        <f t="shared" ref="L2:O2" si="0">C2/C$6</f>
        <v>0.22222222222222221</v>
      </c>
      <c r="M2">
        <f t="shared" si="0"/>
        <v>0.13043478260869565</v>
      </c>
      <c r="N2">
        <f>E2/E$6</f>
        <v>0.27272727272727271</v>
      </c>
      <c r="O2" s="6">
        <f>AVERAGE(K2:N2)</f>
        <v>0.20322106938954765</v>
      </c>
    </row>
    <row r="3" spans="1:15" ht="45.75" thickBot="1" x14ac:dyDescent="0.3">
      <c r="A3" s="3" t="s">
        <v>6</v>
      </c>
      <c r="B3" s="4">
        <v>2</v>
      </c>
      <c r="C3" s="5">
        <v>1</v>
      </c>
      <c r="D3" s="5">
        <v>2</v>
      </c>
      <c r="E3" s="11">
        <v>4</v>
      </c>
      <c r="F3" s="13"/>
      <c r="G3" s="6"/>
      <c r="J3" s="3" t="s">
        <v>6</v>
      </c>
      <c r="K3">
        <f t="shared" ref="K3:K5" si="1">B3/B$6</f>
        <v>0.375</v>
      </c>
      <c r="L3">
        <f t="shared" ref="L3:L5" si="2">C3/C$6</f>
        <v>0.44444444444444442</v>
      </c>
      <c r="M3">
        <f t="shared" ref="M3:M5" si="3">D3/D$6</f>
        <v>0.52173913043478259</v>
      </c>
      <c r="N3">
        <f t="shared" ref="N3:N5" si="4">E3/E$6</f>
        <v>0.36363636363636365</v>
      </c>
      <c r="O3" s="6">
        <f t="shared" ref="O3:O5" si="5">AVERAGE(K3:N3)</f>
        <v>0.42620498462889767</v>
      </c>
    </row>
    <row r="4" spans="1:15" ht="45.75" thickBot="1" x14ac:dyDescent="0.3">
      <c r="A4" s="3" t="s">
        <v>7</v>
      </c>
      <c r="B4" s="5">
        <v>2</v>
      </c>
      <c r="C4" s="5">
        <v>0.5</v>
      </c>
      <c r="D4" s="5">
        <v>1</v>
      </c>
      <c r="E4" s="11">
        <v>3</v>
      </c>
      <c r="F4" s="13"/>
      <c r="G4" s="6"/>
      <c r="J4" s="3" t="s">
        <v>7</v>
      </c>
      <c r="K4">
        <f t="shared" si="1"/>
        <v>0.375</v>
      </c>
      <c r="L4">
        <f t="shared" si="2"/>
        <v>0.22222222222222221</v>
      </c>
      <c r="M4">
        <f t="shared" si="3"/>
        <v>0.2608695652173913</v>
      </c>
      <c r="N4">
        <f t="shared" si="4"/>
        <v>0.27272727272727271</v>
      </c>
      <c r="O4" s="6">
        <f t="shared" si="5"/>
        <v>0.28270476504172154</v>
      </c>
    </row>
    <row r="5" spans="1:15" ht="45.75" thickBot="1" x14ac:dyDescent="0.3">
      <c r="A5" s="3" t="s">
        <v>8</v>
      </c>
      <c r="B5" s="5">
        <v>0.33333333333333331</v>
      </c>
      <c r="C5" s="5">
        <v>0.25</v>
      </c>
      <c r="D5" s="5">
        <v>0.33333333333333331</v>
      </c>
      <c r="E5" s="11">
        <v>1</v>
      </c>
      <c r="F5" s="13"/>
      <c r="G5" s="6"/>
      <c r="J5" s="3" t="s">
        <v>8</v>
      </c>
      <c r="K5">
        <f t="shared" si="1"/>
        <v>6.25E-2</v>
      </c>
      <c r="L5">
        <f t="shared" si="2"/>
        <v>0.1111111111111111</v>
      </c>
      <c r="M5">
        <f t="shared" si="3"/>
        <v>8.6956521739130432E-2</v>
      </c>
      <c r="N5">
        <f t="shared" si="4"/>
        <v>9.0909090909090912E-2</v>
      </c>
      <c r="O5" s="6">
        <f t="shared" si="5"/>
        <v>8.7869180939833119E-2</v>
      </c>
    </row>
    <row r="6" spans="1:15" ht="15.75" thickBot="1" x14ac:dyDescent="0.3">
      <c r="A6" s="3"/>
      <c r="B6" s="6">
        <f>SUM(B2:B5)</f>
        <v>5.333333333333333</v>
      </c>
      <c r="C6" s="6">
        <f t="shared" ref="C6:E6" si="6">SUM(C2:C5)</f>
        <v>2.25</v>
      </c>
      <c r="D6" s="6">
        <f t="shared" si="6"/>
        <v>3.8333333333333335</v>
      </c>
      <c r="E6" s="6">
        <f t="shared" si="6"/>
        <v>11</v>
      </c>
      <c r="F6" s="6"/>
      <c r="G6" s="6"/>
      <c r="J6" s="3"/>
      <c r="K6">
        <f>SUM(K1:K5)</f>
        <v>1</v>
      </c>
      <c r="L6">
        <f t="shared" ref="L6" si="7">SUM(L1:L5)</f>
        <v>1</v>
      </c>
      <c r="M6">
        <f t="shared" ref="M6" si="8">SUM(M1:M5)</f>
        <v>1</v>
      </c>
      <c r="N6">
        <f t="shared" ref="N6" si="9">SUM(N1:N5)</f>
        <v>1</v>
      </c>
    </row>
    <row r="7" spans="1:15" x14ac:dyDescent="0.25">
      <c r="B7" s="6"/>
      <c r="C7" s="6"/>
      <c r="D7" s="6"/>
      <c r="E7" s="6"/>
      <c r="F7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A4967-3D3B-4EB4-ADF1-F13B77313C4F}">
  <dimension ref="A1:P7"/>
  <sheetViews>
    <sheetView zoomScale="128" workbookViewId="0">
      <selection activeCell="P5" sqref="P5"/>
    </sheetView>
  </sheetViews>
  <sheetFormatPr defaultRowHeight="15" x14ac:dyDescent="0.25"/>
  <cols>
    <col min="1" max="1" width="16" customWidth="1"/>
    <col min="3" max="3" width="12.5703125" customWidth="1"/>
    <col min="5" max="5" width="15.5703125" customWidth="1"/>
    <col min="6" max="6" width="13.140625" customWidth="1"/>
  </cols>
  <sheetData>
    <row r="1" spans="1:16" ht="30.75" thickBot="1" x14ac:dyDescent="0.3">
      <c r="A1" s="1"/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14" t="s">
        <v>10</v>
      </c>
    </row>
    <row r="2" spans="1:16" ht="15.75" thickBot="1" x14ac:dyDescent="0.3">
      <c r="A2" s="3" t="s">
        <v>11</v>
      </c>
      <c r="B2" s="4">
        <v>1</v>
      </c>
      <c r="C2" s="4">
        <v>0.5</v>
      </c>
      <c r="D2" s="4">
        <v>1</v>
      </c>
      <c r="E2" s="4">
        <v>0.5</v>
      </c>
      <c r="F2" s="4">
        <v>1</v>
      </c>
      <c r="G2" s="6"/>
      <c r="J2" s="3" t="s">
        <v>11</v>
      </c>
      <c r="K2">
        <f>B2/B$7</f>
        <v>0.14285714285714285</v>
      </c>
      <c r="L2">
        <f>C2/C$7</f>
        <v>0.1111111111111111</v>
      </c>
      <c r="M2">
        <f t="shared" ref="L2:O6" si="0">D2/D$7</f>
        <v>0.14285714285714285</v>
      </c>
      <c r="N2">
        <f t="shared" si="0"/>
        <v>0.16666666666666666</v>
      </c>
      <c r="O2">
        <f t="shared" si="0"/>
        <v>0.14285714285714285</v>
      </c>
      <c r="P2">
        <f>AVERAGE(K2:O2)</f>
        <v>0.14126984126984127</v>
      </c>
    </row>
    <row r="3" spans="1:16" ht="30.75" thickBot="1" x14ac:dyDescent="0.3">
      <c r="A3" s="3" t="s">
        <v>12</v>
      </c>
      <c r="B3" s="4">
        <v>2</v>
      </c>
      <c r="C3" s="5">
        <v>1</v>
      </c>
      <c r="D3" s="5">
        <v>2</v>
      </c>
      <c r="E3" s="5">
        <v>0.5</v>
      </c>
      <c r="F3" s="5">
        <v>2</v>
      </c>
      <c r="G3" s="6"/>
      <c r="J3" s="3" t="s">
        <v>12</v>
      </c>
      <c r="K3">
        <f t="shared" ref="K3:K6" si="1">B3/B$7</f>
        <v>0.2857142857142857</v>
      </c>
      <c r="L3">
        <f t="shared" si="0"/>
        <v>0.22222222222222221</v>
      </c>
      <c r="M3">
        <f t="shared" si="0"/>
        <v>0.2857142857142857</v>
      </c>
      <c r="N3">
        <f t="shared" si="0"/>
        <v>0.16666666666666666</v>
      </c>
      <c r="O3">
        <f t="shared" si="0"/>
        <v>0.2857142857142857</v>
      </c>
      <c r="P3">
        <f t="shared" ref="P3:P6" si="2">AVERAGE(K3:O3)</f>
        <v>0.24920634920634921</v>
      </c>
    </row>
    <row r="4" spans="1:16" ht="30.75" thickBot="1" x14ac:dyDescent="0.3">
      <c r="A4" s="3" t="s">
        <v>13</v>
      </c>
      <c r="B4" s="5">
        <v>1</v>
      </c>
      <c r="C4" s="5">
        <v>0.5</v>
      </c>
      <c r="D4" s="5">
        <v>1</v>
      </c>
      <c r="E4" s="5">
        <v>0.5</v>
      </c>
      <c r="F4" s="5">
        <v>1</v>
      </c>
      <c r="G4" s="6"/>
      <c r="J4" s="3" t="s">
        <v>13</v>
      </c>
      <c r="K4">
        <f t="shared" si="1"/>
        <v>0.14285714285714285</v>
      </c>
      <c r="L4">
        <f t="shared" si="0"/>
        <v>0.1111111111111111</v>
      </c>
      <c r="M4">
        <f t="shared" si="0"/>
        <v>0.14285714285714285</v>
      </c>
      <c r="N4">
        <f t="shared" si="0"/>
        <v>0.16666666666666666</v>
      </c>
      <c r="O4">
        <f t="shared" si="0"/>
        <v>0.14285714285714285</v>
      </c>
      <c r="P4">
        <f t="shared" si="2"/>
        <v>0.14126984126984127</v>
      </c>
    </row>
    <row r="5" spans="1:16" ht="30.75" thickBot="1" x14ac:dyDescent="0.3">
      <c r="A5" s="3" t="s">
        <v>14</v>
      </c>
      <c r="B5" s="5">
        <v>2</v>
      </c>
      <c r="C5" s="5">
        <v>2</v>
      </c>
      <c r="D5" s="5">
        <v>2</v>
      </c>
      <c r="E5" s="5">
        <v>1</v>
      </c>
      <c r="F5" s="5">
        <v>2</v>
      </c>
      <c r="G5" s="6"/>
      <c r="J5" s="3" t="s">
        <v>14</v>
      </c>
      <c r="K5">
        <f t="shared" si="1"/>
        <v>0.2857142857142857</v>
      </c>
      <c r="L5">
        <f t="shared" si="0"/>
        <v>0.44444444444444442</v>
      </c>
      <c r="M5">
        <f t="shared" si="0"/>
        <v>0.2857142857142857</v>
      </c>
      <c r="N5">
        <f t="shared" si="0"/>
        <v>0.33333333333333331</v>
      </c>
      <c r="O5">
        <f t="shared" si="0"/>
        <v>0.2857142857142857</v>
      </c>
      <c r="P5">
        <f t="shared" si="2"/>
        <v>0.32698412698412699</v>
      </c>
    </row>
    <row r="6" spans="1:16" ht="30.75" thickBot="1" x14ac:dyDescent="0.3">
      <c r="A6" s="3" t="s">
        <v>15</v>
      </c>
      <c r="B6" s="5">
        <v>1</v>
      </c>
      <c r="C6" s="5">
        <v>0.5</v>
      </c>
      <c r="D6" s="5">
        <v>1</v>
      </c>
      <c r="E6" s="5">
        <v>0.5</v>
      </c>
      <c r="F6" s="5">
        <v>1</v>
      </c>
      <c r="G6" s="6"/>
      <c r="J6" s="3" t="s">
        <v>15</v>
      </c>
      <c r="K6">
        <f t="shared" si="1"/>
        <v>0.14285714285714285</v>
      </c>
      <c r="L6">
        <f t="shared" si="0"/>
        <v>0.1111111111111111</v>
      </c>
      <c r="M6">
        <f t="shared" si="0"/>
        <v>0.14285714285714285</v>
      </c>
      <c r="N6">
        <f t="shared" si="0"/>
        <v>0.16666666666666666</v>
      </c>
      <c r="O6">
        <f t="shared" si="0"/>
        <v>0.14285714285714285</v>
      </c>
      <c r="P6">
        <f t="shared" si="2"/>
        <v>0.14126984126984127</v>
      </c>
    </row>
    <row r="7" spans="1:16" x14ac:dyDescent="0.25">
      <c r="B7" s="6">
        <f>SUM(B2:B6)</f>
        <v>7</v>
      </c>
      <c r="C7" s="6">
        <f t="shared" ref="C7:F7" si="3">SUM(C2:C6)</f>
        <v>4.5</v>
      </c>
      <c r="D7" s="6">
        <f t="shared" si="3"/>
        <v>7</v>
      </c>
      <c r="E7" s="6">
        <f t="shared" si="3"/>
        <v>3</v>
      </c>
      <c r="F7" s="6">
        <f t="shared" si="3"/>
        <v>7</v>
      </c>
      <c r="K7">
        <f>SUM(K2:K6)</f>
        <v>1</v>
      </c>
      <c r="L7">
        <f t="shared" ref="L7:O7" si="4">SUM(L2:L6)</f>
        <v>1</v>
      </c>
      <c r="M7">
        <f t="shared" si="4"/>
        <v>1</v>
      </c>
      <c r="N7">
        <f t="shared" si="4"/>
        <v>0.99999999999999989</v>
      </c>
      <c r="O7">
        <f t="shared" si="4"/>
        <v>1</v>
      </c>
      <c r="P7">
        <f>SUM(P2:P6)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economy</vt:lpstr>
      <vt:lpstr>envir_infra</vt:lpstr>
      <vt:lpstr>5bang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Bảo tôn</dc:creator>
  <cp:lastModifiedBy>Bảo tôn</cp:lastModifiedBy>
  <dcterms:created xsi:type="dcterms:W3CDTF">2025-12-20T13:39:39Z</dcterms:created>
  <dcterms:modified xsi:type="dcterms:W3CDTF">2025-12-20T15:32:04Z</dcterms:modified>
</cp:coreProperties>
</file>